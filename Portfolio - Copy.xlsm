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Code\TD-AmeritradeAPI\"/>
    </mc:Choice>
  </mc:AlternateContent>
  <xr:revisionPtr revIDLastSave="0" documentId="13_ncr:1_{6177F7A5-6D00-4BEC-A3F8-8498C44CD67C}" xr6:coauthVersionLast="46" xr6:coauthVersionMax="46" xr10:uidLastSave="{00000000-0000-0000-0000-000000000000}"/>
  <bookViews>
    <workbookView xWindow="-120" yWindow="-120" windowWidth="20640" windowHeight="11760" xr2:uid="{00000000-000D-0000-FFFF-FFFF00000000}"/>
  </bookViews>
  <sheets>
    <sheet name="EquityWatchlist" sheetId="1" r:id="rId1"/>
    <sheet name="EquityPositions" sheetId="2" r:id="rId2"/>
    <sheet name="Dashboar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C2" i="2"/>
  <c r="D2" i="2"/>
  <c r="E2" i="2"/>
  <c r="F4" i="2"/>
  <c r="F5" i="2"/>
  <c r="F6" i="2"/>
  <c r="F7" i="2"/>
  <c r="F8" i="2"/>
  <c r="F9" i="2"/>
  <c r="F10" i="2"/>
  <c r="F11" i="2"/>
  <c r="F12" i="2"/>
  <c r="F13" i="2"/>
  <c r="F14" i="2"/>
  <c r="F15" i="2"/>
  <c r="F3" i="2"/>
  <c r="E4" i="2"/>
  <c r="E5" i="2"/>
  <c r="E6" i="2"/>
  <c r="E7" i="2"/>
  <c r="E8" i="2"/>
  <c r="E9" i="2"/>
  <c r="E10" i="2"/>
  <c r="E11" i="2"/>
  <c r="E12" i="2"/>
  <c r="E13" i="2"/>
  <c r="E14" i="2"/>
  <c r="E15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3" i="2"/>
  <c r="C4" i="2"/>
  <c r="C5" i="2"/>
  <c r="C6" i="2"/>
  <c r="C7" i="2"/>
  <c r="C8" i="2"/>
  <c r="C9" i="2"/>
  <c r="C10" i="2"/>
  <c r="C11" i="2"/>
  <c r="C12" i="2"/>
  <c r="C13" i="2"/>
  <c r="C14" i="2"/>
  <c r="C15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3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2" i="1"/>
</calcChain>
</file>

<file path=xl/sharedStrings.xml><?xml version="1.0" encoding="utf-8"?>
<sst xmlns="http://schemas.openxmlformats.org/spreadsheetml/2006/main" count="56" uniqueCount="39">
  <si>
    <t>Stock</t>
  </si>
  <si>
    <t>Open</t>
  </si>
  <si>
    <t>High</t>
  </si>
  <si>
    <t>Low</t>
  </si>
  <si>
    <t>Close</t>
  </si>
  <si>
    <t>REPH</t>
  </si>
  <si>
    <t>CHW</t>
  </si>
  <si>
    <t>LTRX</t>
  </si>
  <si>
    <t>NEOS</t>
  </si>
  <si>
    <t>NCPCF</t>
  </si>
  <si>
    <t>EOD</t>
  </si>
  <si>
    <t>GAB</t>
  </si>
  <si>
    <t>SNCA</t>
  </si>
  <si>
    <t>GNCA</t>
  </si>
  <si>
    <t>BXRX</t>
  </si>
  <si>
    <t>SCOR</t>
  </si>
  <si>
    <t>PHAS</t>
  </si>
  <si>
    <t>XAN</t>
  </si>
  <si>
    <t>SPPI</t>
  </si>
  <si>
    <t>ASC</t>
  </si>
  <si>
    <t>ESGC</t>
  </si>
  <si>
    <t>MRKR</t>
  </si>
  <si>
    <t>MUFG</t>
  </si>
  <si>
    <t>PHX</t>
  </si>
  <si>
    <t>ADMP</t>
  </si>
  <si>
    <t>QTT</t>
  </si>
  <si>
    <t>UAMY</t>
  </si>
  <si>
    <t>REFR</t>
  </si>
  <si>
    <t>TLSA</t>
  </si>
  <si>
    <t>ABEV</t>
  </si>
  <si>
    <t>BKCC</t>
  </si>
  <si>
    <t>ATAX</t>
  </si>
  <si>
    <t>AIV</t>
  </si>
  <si>
    <t>MMDA1</t>
  </si>
  <si>
    <t xml:space="preserve">High </t>
  </si>
  <si>
    <t>Volume</t>
  </si>
  <si>
    <t>Units</t>
  </si>
  <si>
    <t>Action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</si>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</sst>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8"/>
      <color theme="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2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66"/>
      <color rgb="FF009999"/>
      <color rgb="FF008080"/>
      <color rgb="FF3366CC"/>
      <color rgb="FF0066CC"/>
      <color rgb="FF00CC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1.29</v>
        <stp/>
        <stp>LOW</stp>
        <stp>BXRX</stp>
        <tr r="D11" s="1"/>
        <tr r="D13" s="2"/>
      </tp>
      <tp>
        <v>6.57</v>
        <stp/>
        <stp>OPEN</stp>
        <stp>GAB</stp>
        <tr r="B8" s="1"/>
      </tp>
      <tp>
        <v>3.43</v>
        <stp/>
        <stp>CLOSE</stp>
        <stp>SPPI</stp>
        <tr r="E15" s="1"/>
        <tr r="E12" s="2"/>
      </tp>
      <tp>
        <v>5.28</v>
        <stp/>
        <stp>OPEN</stp>
        <stp>EOD</stp>
        <tr r="B7" s="1"/>
        <tr r="B8" s="2"/>
      </tp>
      <tp>
        <v>2.42</v>
        <stp/>
        <stp>CLOSE</stp>
        <stp>MRKR</stp>
        <tr r="E14" s="2"/>
        <tr r="E18" s="1"/>
      </tp>
      <tp>
        <v>1.83</v>
        <stp/>
        <stp>CLOSE</stp>
        <stp>ESGC</stp>
        <tr r="E17" s="1"/>
      </tp>
      <tp>
        <v>10.039999999999999</v>
        <stp/>
        <stp>OPEN</stp>
        <stp>CHW</stp>
        <tr r="B3" s="1"/>
      </tp>
      <tp>
        <v>4.68</v>
        <stp/>
        <stp>CLOSE</stp>
        <stp>LTRX</stp>
        <tr r="E9" s="2"/>
        <tr r="E4" s="1"/>
      </tp>
      <tp>
        <v>7028940</v>
        <stp/>
        <stp>VOLUME</stp>
        <stp>QTT</stp>
        <tr r="F10" s="2"/>
      </tp>
      <tp>
        <v>4.66</v>
        <stp/>
        <stp>CLOSE</stp>
        <stp>ATAX</stp>
        <tr r="E28" s="1"/>
        <tr r="E15" s="2"/>
      </tp>
      <tp>
        <v>5.25</v>
        <stp/>
        <stp>CLOSE</stp>
        <stp>MUFG</stp>
        <tr r="E19" s="1"/>
        <tr r="E6" s="2"/>
      </tp>
      <tp>
        <v>3.4</v>
        <stp/>
        <stp>LOW</stp>
        <stp>QTT</stp>
        <tr r="D22" s="1"/>
        <tr r="D10" s="2"/>
      </tp>
      <tp>
        <v>4.8099999999999996</v>
        <stp/>
        <stp>OPEN</stp>
        <stp>AIV</stp>
        <tr r="B29" s="1"/>
      </tp>
      <tp>
        <v>0</v>
        <stp/>
        <stp>HIGH</stp>
        <stp>XAN</stp>
        <tr r="C14" s="1"/>
      </tp>
      <tp>
        <v>4.09</v>
        <stp/>
        <stp>OPEN</stp>
        <stp>ASC</stp>
        <tr r="B16" s="1"/>
        <tr r="B7" s="2"/>
      </tp>
      <tp>
        <v>3.27</v>
        <stp/>
        <stp>LOW</stp>
        <stp>PHX</stp>
        <tr r="D20" s="1"/>
      </tp>
      <tp t="s">
        <v>N/A</v>
        <stp/>
        <stp>OPEN</stp>
        <stp>MMDA1</stp>
        <tr r="B2" s="2"/>
      </tp>
      <tp>
        <v>3.43</v>
        <stp/>
        <stp>LOW</stp>
        <stp>SPPI</stp>
        <tr r="D12" s="2"/>
        <tr r="D15" s="1"/>
      </tp>
      <tp>
        <v>1.35</v>
        <stp/>
        <stp>CLOSE</stp>
        <stp>BXRX</stp>
        <tr r="E11" s="1"/>
        <tr r="E13" s="2"/>
      </tp>
      <tp>
        <v>2.34</v>
        <stp/>
        <stp>LOW</stp>
        <stp>MRKR</stp>
        <tr r="D14" s="2"/>
        <tr r="D18" s="1"/>
      </tp>
      <tp>
        <v>1.83</v>
        <stp/>
        <stp>LOW</stp>
        <stp>ESGC</stp>
        <tr r="D17" s="1"/>
      </tp>
      <tp>
        <v>4.67</v>
        <stp/>
        <stp>LOW</stp>
        <stp>LTRX</stp>
        <tr r="D9" s="2"/>
        <tr r="D4" s="1"/>
      </tp>
      <tp>
        <v>4.6500000000000004</v>
        <stp/>
        <stp>LOW</stp>
        <stp>ATAX</stp>
        <tr r="D15" s="2"/>
        <tr r="D28" s="1"/>
      </tp>
      <tp>
        <v>5.25</v>
        <stp/>
        <stp>LOW</stp>
        <stp>MUFG</stp>
        <tr r="D19" s="1"/>
        <tr r="D6" s="2"/>
      </tp>
      <tp t="s">
        <v>N/A</v>
        <stp/>
        <stp>HIGH</stp>
        <stp>MMDA1</stp>
        <tr r="C2" s="2"/>
      </tp>
      <tp>
        <v>3.65</v>
        <stp/>
        <stp>HIGH</stp>
        <stp>PHX</stp>
        <tr r="C20" s="1"/>
      </tp>
      <tp>
        <v>0</v>
        <stp/>
        <stp>LOW</stp>
        <stp>XAN</stp>
        <tr r="D14" s="1"/>
      </tp>
      <tp>
        <v>3.7450000000000001</v>
        <stp/>
        <stp>HIGH</stp>
        <stp>QTT</stp>
        <tr r="C10" s="2"/>
        <tr r="C22" s="1"/>
      </tp>
      <tp>
        <v>6.47</v>
        <stp/>
        <stp>LOW</stp>
        <stp>GAB</stp>
        <tr r="D8" s="1"/>
      </tp>
      <tp>
        <v>3.7549999999999999</v>
        <stp/>
        <stp>LOW</stp>
        <stp>PHAS</stp>
        <tr r="D13" s="1"/>
      </tp>
      <tp>
        <v>232971</v>
        <stp/>
        <stp>VOLUME</stp>
        <stp>EOD</stp>
        <tr r="F8" s="2"/>
      </tp>
      <tp>
        <v>1.43</v>
        <stp/>
        <stp>CLOSE</stp>
        <stp>UAMY</stp>
        <tr r="E23" s="1"/>
      </tp>
      <tp>
        <v>5.2</v>
        <stp/>
        <stp>LOW</stp>
        <stp>EOD</stp>
        <tr r="D7" s="1"/>
        <tr r="D8" s="2"/>
      </tp>
      <tp>
        <v>2.5499999999999998</v>
        <stp/>
        <stp>CLOSE</stp>
        <stp>ABEV</stp>
        <tr r="E26" s="1"/>
      </tp>
      <tp>
        <v>3.173</v>
        <stp/>
        <stp>LOW</stp>
        <stp>BKCC</stp>
        <tr r="D27" s="1"/>
      </tp>
      <tp>
        <v>3.65</v>
        <stp/>
        <stp>CLOSE</stp>
        <stp>SCOR</stp>
        <tr r="E12" s="1"/>
        <tr r="E5" s="2"/>
      </tp>
      <tp>
        <v>9.8000000000000007</v>
        <stp/>
        <stp>LOW</stp>
        <stp>CHW</stp>
        <tr r="D3" s="1"/>
      </tp>
      <tp>
        <v>2.81</v>
        <stp/>
        <stp>LOW</stp>
        <stp>TLSA</stp>
        <tr r="D25" s="1"/>
      </tp>
      <tp>
        <v>1.1200000000000001</v>
        <stp/>
        <stp>CLOSE</stp>
        <stp>ADMP</stp>
        <tr r="E21" s="1"/>
      </tp>
      <tp>
        <v>352483</v>
        <stp/>
        <stp>VOLUME</stp>
        <stp>ASC</stp>
        <tr r="F7" s="2"/>
      </tp>
      <tp>
        <v>3.43</v>
        <stp/>
        <stp>CLOSE</stp>
        <stp>REPH</stp>
        <tr r="E4" s="2"/>
        <tr r="E2" s="1"/>
      </tp>
      <tp>
        <v>0.85209999999999997</v>
        <stp/>
        <stp>CLOSE</stp>
        <stp>NEOS</stp>
        <tr r="E5" s="1"/>
      </tp>
      <tp>
        <v>4.03</v>
        <stp/>
        <stp>CLOSE</stp>
        <stp>REFR</stp>
        <tr r="E24" s="1"/>
      </tp>
      <tp>
        <v>3.86</v>
        <stp/>
        <stp>LOW</stp>
        <stp>ASC</stp>
        <tr r="D7" s="2"/>
        <tr r="D16" s="1"/>
      </tp>
      <tp>
        <v>4.76</v>
        <stp/>
        <stp>LOW</stp>
        <stp>AIV</stp>
        <tr r="D29" s="1"/>
      </tp>
      <tp>
        <v>3.44</v>
        <stp/>
        <stp>OPEN</stp>
        <stp>QTT</stp>
        <tr r="B10" s="2"/>
        <tr r="B22" s="1"/>
      </tp>
      <tp>
        <v>1.26</v>
        <stp/>
        <stp>LOW</stp>
        <stp>SNCA</stp>
        <tr r="D9" s="1"/>
        <tr r="D11" s="2"/>
      </tp>
      <tp>
        <v>2.88</v>
        <stp/>
        <stp>LOW</stp>
        <stp>GNCA</stp>
        <tr r="D10" s="1"/>
        <tr r="D3" s="2"/>
      </tp>
      <tp>
        <v>3.6</v>
        <stp/>
        <stp>OPEN</stp>
        <stp>PHX</stp>
        <tr r="B20" s="1"/>
      </tp>
      <tp>
        <v>3.88</v>
        <stp/>
        <stp>CLOSE</stp>
        <stp>PHAS</stp>
        <tr r="E13" s="1"/>
      </tp>
      <tp>
        <v>6.67</v>
        <stp/>
        <stp>HIGH</stp>
        <stp>GAB</stp>
        <tr r="C8" s="1"/>
      </tp>
      <tp>
        <v>1.37</v>
        <stp/>
        <stp>LOW</stp>
        <stp>UAMY</stp>
        <tr r="D23" s="1"/>
      </tp>
      <tp>
        <v>0.1009</v>
        <stp/>
        <stp>HIGH</stp>
        <stp>NCPCF</stp>
        <tr r="C6" s="1"/>
      </tp>
      <tp>
        <v>2.5350000000000001</v>
        <stp/>
        <stp>LOW</stp>
        <stp>ABEV</stp>
        <tr r="D26" s="1"/>
      </tp>
      <tp>
        <v>5.29</v>
        <stp/>
        <stp>HIGH</stp>
        <stp>EOD</stp>
        <tr r="C7" s="1"/>
        <tr r="C8" s="2"/>
      </tp>
      <tp>
        <v>3.59</v>
        <stp/>
        <stp>LOW</stp>
        <stp>SCOR</stp>
        <tr r="D5" s="2"/>
        <tr r="D12" s="1"/>
      </tp>
      <tp>
        <v>3.27</v>
        <stp/>
        <stp>CLOSE</stp>
        <stp>BKCC</stp>
        <tr r="E27" s="1"/>
      </tp>
      <tp>
        <v>0.1</v>
        <stp/>
        <stp>OPEN</stp>
        <stp>NCPCF</stp>
        <tr r="B6" s="1"/>
      </tp>
      <tp>
        <v>1.05</v>
        <stp/>
        <stp>LOW</stp>
        <stp>ADMP</stp>
        <tr r="D21" s="1"/>
      </tp>
      <tp>
        <v>3.01</v>
        <stp/>
        <stp>CLOSE</stp>
        <stp>TLSA</stp>
        <tr r="E25" s="1"/>
      </tp>
      <tp>
        <v>10.0886</v>
        <stp/>
        <stp>HIGH</stp>
        <stp>CHW</stp>
        <tr r="C3" s="1"/>
      </tp>
      <tp>
        <v>3.335</v>
        <stp/>
        <stp>LOW</stp>
        <stp>REPH</stp>
        <tr r="D2" s="1"/>
        <tr r="D4" s="2"/>
      </tp>
      <tp>
        <v>0.82809999999999995</v>
        <stp/>
        <stp>LOW</stp>
        <stp>NEOS</stp>
        <tr r="D5" s="1"/>
      </tp>
      <tp>
        <v>3.9300999999999999</v>
        <stp/>
        <stp>LOW</stp>
        <stp>REFR</stp>
        <tr r="D24" s="1"/>
      </tp>
      <tp>
        <v>3.04</v>
        <stp/>
        <stp>CLOSE</stp>
        <stp>GNCA</stp>
        <tr r="E3" s="2"/>
        <tr r="E10" s="1"/>
      </tp>
      <tp>
        <v>1.34</v>
        <stp/>
        <stp>CLOSE</stp>
        <stp>SNCA</stp>
        <tr r="E9" s="1"/>
        <tr r="E11" s="2"/>
      </tp>
      <tp>
        <v>4.8899999999999997</v>
        <stp/>
        <stp>HIGH</stp>
        <stp>AIV</stp>
        <tr r="C29" s="1"/>
      </tp>
      <tp>
        <v>0</v>
        <stp/>
        <stp>OPEN</stp>
        <stp>XAN</stp>
        <tr r="B14" s="1"/>
      </tp>
      <tp>
        <v>4.1399999999999997</v>
        <stp/>
        <stp>HIGH</stp>
        <stp>ASC</stp>
        <tr r="C7" s="2"/>
        <tr r="C16" s="1"/>
      </tp>
      <tp>
        <v>1.42</v>
        <stp/>
        <stp>HIGH</stp>
        <stp>SNCA</stp>
        <tr r="C11" s="2"/>
        <tr r="C9" s="1"/>
      </tp>
      <tp>
        <v>3.17</v>
        <stp/>
        <stp>HIGH</stp>
        <stp>GNCA</stp>
        <tr r="C3" s="2"/>
        <tr r="C10" s="1"/>
      </tp>
      <tp>
        <v>2.97</v>
        <stp/>
        <stp>OPEN</stp>
        <stp>TLSA</stp>
        <tr r="B25" s="1"/>
      </tp>
      <tp>
        <v>6.64</v>
        <stp/>
        <stp>CLOSE</stp>
        <stp>GAB</stp>
        <tr r="E8" s="1"/>
      </tp>
      <tp>
        <v>3.01</v>
        <stp/>
        <stp>OPEN</stp>
        <stp>GNCA</stp>
        <tr r="B10" s="1"/>
        <tr r="B3" s="2"/>
      </tp>
      <tp>
        <v>1.4</v>
        <stp/>
        <stp>OPEN</stp>
        <stp>SNCA</stp>
        <tr r="B9" s="1"/>
        <tr r="B11" s="2"/>
      </tp>
      <tp>
        <v>3.13</v>
        <stp/>
        <stp>HIGH</stp>
        <stp>TLSA</stp>
        <tr r="C25" s="1"/>
      </tp>
      <tp>
        <v>5.27</v>
        <stp/>
        <stp>CLOSE</stp>
        <stp>EOD</stp>
        <tr r="E8" s="2"/>
        <tr r="E7" s="1"/>
      </tp>
      <tp>
        <v>3.95</v>
        <stp/>
        <stp>OPEN</stp>
        <stp>PHAS</stp>
        <tr r="B13" s="1"/>
      </tp>
      <tp>
        <v>3.3</v>
        <stp/>
        <stp>HIGH</stp>
        <stp>BKCC</stp>
        <tr r="C27" s="1"/>
      </tp>
      <tp>
        <v>9.92</v>
        <stp/>
        <stp>CLOSE</stp>
        <stp>CHW</stp>
        <tr r="E3" s="1"/>
      </tp>
      <tp>
        <v>4.0198999999999998</v>
        <stp/>
        <stp>HIGH</stp>
        <stp>PHAS</stp>
        <tr r="C13" s="1"/>
      </tp>
      <tp>
        <v>3.94</v>
        <stp/>
        <stp>CLOSE</stp>
        <stp>ASC</stp>
        <tr r="E16" s="1"/>
        <tr r="E7" s="2"/>
      </tp>
      <tp>
        <v>3.21</v>
        <stp/>
        <stp>OPEN</stp>
        <stp>BKCC</stp>
        <tr r="B27" s="1"/>
      </tp>
      <tp>
        <v>4.76</v>
        <stp/>
        <stp>CLOSE</stp>
        <stp>AIV</stp>
        <tr r="E29" s="1"/>
      </tp>
      <tp>
        <v>1.1100000000000001</v>
        <stp/>
        <stp>OPEN</stp>
        <stp>ADMP</stp>
        <tr r="B21" s="1"/>
      </tp>
      <tp>
        <v>0.86029999999999995</v>
        <stp/>
        <stp>OPEN</stp>
        <stp>NEOS</stp>
        <tr r="B5" s="1"/>
      </tp>
      <tp>
        <v>4</v>
        <stp/>
        <stp>OPEN</stp>
        <stp>REFR</stp>
        <tr r="B24" s="1"/>
      </tp>
      <tp>
        <v>3.98</v>
        <stp/>
        <stp>OPEN</stp>
        <stp>REPH</stp>
        <tr r="B4" s="2"/>
        <tr r="B2" s="1"/>
      </tp>
      <tp>
        <v>1.17</v>
        <stp/>
        <stp>HIGH</stp>
        <stp>ADMP</stp>
        <tr r="C21" s="1"/>
      </tp>
      <tp>
        <v>0.9</v>
        <stp/>
        <stp>HIGH</stp>
        <stp>NEOS</stp>
        <tr r="C5" s="1"/>
      </tp>
      <tp>
        <v>4.29</v>
        <stp/>
        <stp>HIGH</stp>
        <stp>REFR</stp>
        <tr r="C24" s="1"/>
      </tp>
      <tp>
        <v>3.98</v>
        <stp/>
        <stp>HIGH</stp>
        <stp>REPH</stp>
        <tr r="C4" s="2"/>
        <tr r="C2" s="1"/>
      </tp>
      <tp>
        <v>2.64</v>
        <stp/>
        <stp>HIGH</stp>
        <stp>ABEV</stp>
        <tr r="C26" s="1"/>
      </tp>
      <tp>
        <v>1.62</v>
        <stp/>
        <stp>OPEN</stp>
        <stp>UAMY</stp>
        <tr r="B23" s="1"/>
      </tp>
      <tp>
        <v>4</v>
        <stp/>
        <stp>HIGH</stp>
        <stp>SCOR</stp>
        <tr r="C12" s="1"/>
        <tr r="C5" s="2"/>
      </tp>
      <tp>
        <v>2.63</v>
        <stp/>
        <stp>OPEN</stp>
        <stp>ABEV</stp>
        <tr r="B26" s="1"/>
      </tp>
      <tp>
        <v>9.7799999999999998E-2</v>
        <stp/>
        <stp>LOW</stp>
        <stp>NCPCF</stp>
        <tr r="D6" s="1"/>
      </tp>
      <tp>
        <v>3.78</v>
        <stp/>
        <stp>OPEN</stp>
        <stp>SCOR</stp>
        <tr r="B5" s="2"/>
        <tr r="B12" s="1"/>
      </tp>
      <tp>
        <v>1.73</v>
        <stp/>
        <stp>HIGH</stp>
        <stp>UAMY</stp>
        <tr r="C23" s="1"/>
      </tp>
      <tp>
        <v>1.36</v>
        <stp/>
        <stp>OPEN</stp>
        <stp>BXRX</stp>
        <tr r="B11" s="1"/>
        <tr r="B13" s="2"/>
      </tp>
      <tp>
        <v>1.43</v>
        <stp/>
        <stp>HIGH</stp>
        <stp>BXRX</stp>
        <tr r="C13" s="2"/>
        <tr r="C11" s="1"/>
      </tp>
      <tp>
        <v>3.51</v>
        <stp/>
        <stp>CLOSE</stp>
        <stp>PHX</stp>
        <tr r="E20" s="1"/>
      </tp>
      <tp>
        <v>3.49</v>
        <stp/>
        <stp>CLOSE</stp>
        <stp>QTT</stp>
        <tr r="E10" s="2"/>
        <tr r="E22" s="1"/>
      </tp>
      <tp>
        <v>4.6500000000000004</v>
        <stp/>
        <stp>OPEN</stp>
        <stp>ATAX</stp>
        <tr r="B28" s="1"/>
        <tr r="B15" s="2"/>
      </tp>
      <tp>
        <v>4.8499999999999996</v>
        <stp/>
        <stp>OPEN</stp>
        <stp>LTRX</stp>
        <tr r="B4" s="1"/>
        <tr r="B9" s="2"/>
      </tp>
      <tp>
        <v>5.34</v>
        <stp/>
        <stp>OPEN</stp>
        <stp>MUFG</stp>
        <tr r="B6" s="2"/>
        <tr r="B19" s="1"/>
      </tp>
      <tp>
        <v>4.8</v>
        <stp/>
        <stp>HIGH</stp>
        <stp>ATAX</stp>
        <tr r="C28" s="1"/>
        <tr r="C15" s="2"/>
      </tp>
      <tp>
        <v>5.04</v>
        <stp/>
        <stp>HIGH</stp>
        <stp>LTRX</stp>
        <tr r="C4" s="1"/>
        <tr r="C9" s="2"/>
      </tp>
      <tp t="s">
        <v>N/A</v>
        <stp/>
        <stp>LOW</stp>
        <stp>MMDA1</stp>
        <tr r="D2" s="2"/>
      </tp>
      <tp>
        <v>5.35</v>
        <stp/>
        <stp>HIGH</stp>
        <stp>MUFG</stp>
        <tr r="C19" s="1"/>
        <tr r="C6" s="2"/>
      </tp>
      <tp>
        <v>2.56</v>
        <stp/>
        <stp>HIGH</stp>
        <stp>MRKR</stp>
        <tr r="C14" s="2"/>
        <tr r="C18" s="1"/>
      </tp>
      <tp>
        <v>3.58</v>
        <stp/>
        <stp>OPEN</stp>
        <stp>SPPI</stp>
        <tr r="B12" s="2"/>
        <tr r="B15" s="1"/>
      </tp>
      <tp>
        <v>1.9750000000000001</v>
        <stp/>
        <stp>HIGH</stp>
        <stp>ESGC</stp>
        <tr r="C17" s="1"/>
      </tp>
      <tp>
        <v>2.48</v>
        <stp/>
        <stp>OPEN</stp>
        <stp>MRKR</stp>
        <tr r="B18" s="1"/>
        <tr r="B14" s="2"/>
      </tp>
      <tp>
        <v>4.34</v>
        <stp/>
        <stp>CLOSE</stp>
        <stp>XAN</stp>
        <tr r="E14" s="1"/>
      </tp>
      <tp>
        <v>3.69</v>
        <stp/>
        <stp>HIGH</stp>
        <stp>SPPI</stp>
        <tr r="C15" s="1"/>
        <tr r="C12" s="2"/>
      </tp>
      <tp>
        <v>1.96</v>
        <stp/>
        <stp>OPEN</stp>
        <stp>ESGC</stp>
        <tr r="B17" s="1"/>
      </tp>
      <tp>
        <v>1071811</v>
        <stp/>
        <stp>VOLUME</stp>
        <stp>SCOR</stp>
        <tr r="F5" s="2"/>
      </tp>
      <tp>
        <v>3292313</v>
        <stp/>
        <stp>VOLUME</stp>
        <stp>REPH</stp>
        <tr r="F4" s="2"/>
      </tp>
      <tp>
        <v>0.1026</v>
        <stp/>
        <stp>CLOSE</stp>
        <stp>NCPCF</stp>
        <tr r="E6" s="1"/>
      </tp>
      <tp>
        <v>743364</v>
        <stp/>
        <stp>VOLUME</stp>
        <stp>SNCA</stp>
        <tr r="F11" s="2"/>
      </tp>
      <tp>
        <v>268272</v>
        <stp/>
        <stp>VOLUME</stp>
        <stp>GNCA</stp>
        <tr r="F3" s="2"/>
      </tp>
      <tp>
        <v>3151635</v>
        <stp/>
        <stp>VOLUME</stp>
        <stp>SPPI</stp>
        <tr r="F12" s="2"/>
      </tp>
      <tp>
        <v>232844</v>
        <stp/>
        <stp>VOLUME</stp>
        <stp>MRKR</stp>
        <tr r="F14" s="2"/>
      </tp>
      <tp>
        <v>199893</v>
        <stp/>
        <stp>VOLUME</stp>
        <stp>LTRX</stp>
        <tr r="F9" s="2"/>
      </tp>
      <tp>
        <v>205246</v>
        <stp/>
        <stp>VOLUME</stp>
        <stp>ATAX</stp>
        <tr r="F15" s="2"/>
      </tp>
      <tp>
        <v>1726181</v>
        <stp/>
        <stp>VOLUME</stp>
        <stp>MUFG</stp>
        <tr r="F6" s="2"/>
      </tp>
      <tp>
        <v>3620797</v>
        <stp/>
        <stp>VOLUME</stp>
        <stp>BXRX</stp>
        <tr r="F13" s="2"/>
      </tp>
      <tp>
        <v>1</v>
        <stp/>
        <stp>CLOSE</stp>
        <stp>MMDA1</stp>
        <tr r="E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7F317F-C68D-439E-9EF2-4BE1F2540DDF}" name="Table2" displayName="Table2" ref="A1:E29" totalsRowShown="0">
  <tableColumns count="5">
    <tableColumn id="1" xr3:uid="{C3A96A72-76DD-4494-BB49-1AE21F2920FC}" name="Stock"/>
    <tableColumn id="2" xr3:uid="{D0B45D07-0352-44F8-8B12-55E2F55C15B5}" name="Open">
      <calculatedColumnFormula>RTD("tos.rtd", , "OPEN", $A2)</calculatedColumnFormula>
    </tableColumn>
    <tableColumn id="3" xr3:uid="{E022E40F-3457-430C-A687-8118C9A700E6}" name="High">
      <calculatedColumnFormula>RTD("tos.rtd", , "HIGH", $A2)</calculatedColumnFormula>
    </tableColumn>
    <tableColumn id="4" xr3:uid="{B47FCA12-641C-4116-8481-C131AB07C813}" name="Low">
      <calculatedColumnFormula>RTD("tos.rtd", , "LOW", $A2)</calculatedColumnFormula>
    </tableColumn>
    <tableColumn id="5" xr3:uid="{52758C41-C536-4FD0-AF3F-B4A696972245}" name="Close">
      <calculatedColumnFormula>RTD("tos.rtd", , "CLOSE", $A2)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F69544-AFAF-4409-BACA-B99BE3FF357E}" name="Table1" displayName="Table1" ref="A1:I15" totalsRowShown="0">
  <tableColumns count="9">
    <tableColumn id="1" xr3:uid="{89C2FEE3-6545-4E09-9224-7077F781527A}" name="Stock"/>
    <tableColumn id="2" xr3:uid="{C6D6FA85-14A6-4538-BF11-38366EDDD43D}" name="Open">
      <calculatedColumnFormula>RTD("tos.rtd", , "OPEN", $A2)</calculatedColumnFormula>
    </tableColumn>
    <tableColumn id="3" xr3:uid="{22684315-FCD3-40F2-9C18-FFD49D224D5B}" name="High ">
      <calculatedColumnFormula>RTD("tos.rtd", , "HIGH", $A2)</calculatedColumnFormula>
    </tableColumn>
    <tableColumn id="4" xr3:uid="{057A1B1F-2C7A-468C-92C0-2BB2EAB01AA9}" name="Low">
      <calculatedColumnFormula>RTD("tos.rtd", , "LOW", $A2)</calculatedColumnFormula>
    </tableColumn>
    <tableColumn id="5" xr3:uid="{D00F2F88-6CEB-4CC1-BA88-D2A03E56C31A}" name="Close">
      <calculatedColumnFormula>RTD("tos.rtd", , "CLOSE", $A2)</calculatedColumnFormula>
    </tableColumn>
    <tableColumn id="6" xr3:uid="{7E562161-47C5-4EA4-A818-84C75BFF5B71}" name="Volume">
      <calculatedColumnFormula>RTD("tos.rtd", , "VOLUME", $A2)</calculatedColumnFormula>
    </tableColumn>
    <tableColumn id="7" xr3:uid="{D6DEB305-C74F-48FE-A9C5-D9EB8BC5AAEA}" name="Action"/>
    <tableColumn id="8" xr3:uid="{390E0009-B419-498D-B938-C2D357F3E22C}" name="Units"/>
    <tableColumn id="9" xr3:uid="{9FF8C457-1625-4C2D-BCA7-216393479D01}" name="Dat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9"/>
  <sheetViews>
    <sheetView showGridLines="0" tabSelected="1" workbookViewId="0">
      <selection activeCell="O7" sqref="O7"/>
    </sheetView>
  </sheetViews>
  <sheetFormatPr defaultRowHeight="15" x14ac:dyDescent="0.25"/>
  <cols>
    <col min="6" max="6" width="11.7109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>
        <f>RTD("tos.rtd", , "OPEN", $A2)</f>
        <v>3.98</v>
      </c>
      <c r="C2">
        <f>RTD("tos.rtd", , "HIGH", $A2)</f>
        <v>3.98</v>
      </c>
      <c r="D2">
        <f>RTD("tos.rtd", , "LOW", $A2)</f>
        <v>3.335</v>
      </c>
      <c r="E2">
        <f>RTD("tos.rtd", , "CLOSE", $A2)</f>
        <v>3.43</v>
      </c>
    </row>
    <row r="3" spans="1:5" x14ac:dyDescent="0.25">
      <c r="A3" t="s">
        <v>6</v>
      </c>
      <c r="B3">
        <f>RTD("tos.rtd", , "OPEN", $A3)</f>
        <v>10.039999999999999</v>
      </c>
      <c r="C3">
        <f>RTD("tos.rtd", , "HIGH", $A3)</f>
        <v>10.0886</v>
      </c>
      <c r="D3">
        <f>RTD("tos.rtd", , "LOW", $A3)</f>
        <v>9.8000000000000007</v>
      </c>
      <c r="E3">
        <f>RTD("tos.rtd", , "CLOSE", $A3)</f>
        <v>9.92</v>
      </c>
    </row>
    <row r="4" spans="1:5" x14ac:dyDescent="0.25">
      <c r="A4" t="s">
        <v>7</v>
      </c>
      <c r="B4">
        <f>RTD("tos.rtd", , "OPEN", $A4)</f>
        <v>4.8499999999999996</v>
      </c>
      <c r="C4">
        <f>RTD("tos.rtd", , "HIGH", $A4)</f>
        <v>5.04</v>
      </c>
      <c r="D4">
        <f>RTD("tos.rtd", , "LOW", $A4)</f>
        <v>4.67</v>
      </c>
      <c r="E4">
        <f>RTD("tos.rtd", , "CLOSE", $A4)</f>
        <v>4.68</v>
      </c>
    </row>
    <row r="5" spans="1:5" x14ac:dyDescent="0.25">
      <c r="A5" t="s">
        <v>8</v>
      </c>
      <c r="B5">
        <f>RTD("tos.rtd", , "OPEN", $A5)</f>
        <v>0.86029999999999995</v>
      </c>
      <c r="C5">
        <f>RTD("tos.rtd", , "HIGH", $A5)</f>
        <v>0.9</v>
      </c>
      <c r="D5">
        <f>RTD("tos.rtd", , "LOW", $A5)</f>
        <v>0.82809999999999995</v>
      </c>
      <c r="E5">
        <f>RTD("tos.rtd", , "CLOSE", $A5)</f>
        <v>0.85209999999999997</v>
      </c>
    </row>
    <row r="6" spans="1:5" x14ac:dyDescent="0.25">
      <c r="A6" t="s">
        <v>9</v>
      </c>
      <c r="B6">
        <f>RTD("tos.rtd", , "OPEN", $A6)</f>
        <v>0.1</v>
      </c>
      <c r="C6">
        <f>RTD("tos.rtd", , "HIGH", $A6)</f>
        <v>0.1009</v>
      </c>
      <c r="D6">
        <f>RTD("tos.rtd", , "LOW", $A6)</f>
        <v>9.7799999999999998E-2</v>
      </c>
      <c r="E6">
        <f>RTD("tos.rtd", , "CLOSE", $A6)</f>
        <v>0.1026</v>
      </c>
    </row>
    <row r="7" spans="1:5" x14ac:dyDescent="0.25">
      <c r="A7" t="s">
        <v>10</v>
      </c>
      <c r="B7">
        <f>RTD("tos.rtd", , "OPEN", $A7)</f>
        <v>5.28</v>
      </c>
      <c r="C7">
        <f>RTD("tos.rtd", , "HIGH", $A7)</f>
        <v>5.29</v>
      </c>
      <c r="D7">
        <f>RTD("tos.rtd", , "LOW", $A7)</f>
        <v>5.2</v>
      </c>
      <c r="E7">
        <f>RTD("tos.rtd", , "CLOSE", $A7)</f>
        <v>5.27</v>
      </c>
    </row>
    <row r="8" spans="1:5" x14ac:dyDescent="0.25">
      <c r="A8" t="s">
        <v>11</v>
      </c>
      <c r="B8">
        <f>RTD("tos.rtd", , "OPEN", $A8)</f>
        <v>6.57</v>
      </c>
      <c r="C8">
        <f>RTD("tos.rtd", , "HIGH", $A8)</f>
        <v>6.67</v>
      </c>
      <c r="D8">
        <f>RTD("tos.rtd", , "LOW", $A8)</f>
        <v>6.47</v>
      </c>
      <c r="E8">
        <f>RTD("tos.rtd", , "CLOSE", $A8)</f>
        <v>6.64</v>
      </c>
    </row>
    <row r="9" spans="1:5" x14ac:dyDescent="0.25">
      <c r="A9" t="s">
        <v>12</v>
      </c>
      <c r="B9">
        <f>RTD("tos.rtd", , "OPEN", $A9)</f>
        <v>1.4</v>
      </c>
      <c r="C9">
        <f>RTD("tos.rtd", , "HIGH", $A9)</f>
        <v>1.42</v>
      </c>
      <c r="D9">
        <f>RTD("tos.rtd", , "LOW", $A9)</f>
        <v>1.26</v>
      </c>
      <c r="E9">
        <f>RTD("tos.rtd", , "CLOSE", $A9)</f>
        <v>1.34</v>
      </c>
    </row>
    <row r="10" spans="1:5" x14ac:dyDescent="0.25">
      <c r="A10" t="s">
        <v>13</v>
      </c>
      <c r="B10">
        <f>RTD("tos.rtd", , "OPEN", $A10)</f>
        <v>3.01</v>
      </c>
      <c r="C10">
        <f>RTD("tos.rtd", , "HIGH", $A10)</f>
        <v>3.17</v>
      </c>
      <c r="D10">
        <f>RTD("tos.rtd", , "LOW", $A10)</f>
        <v>2.88</v>
      </c>
      <c r="E10">
        <f>RTD("tos.rtd", , "CLOSE", $A10)</f>
        <v>3.04</v>
      </c>
    </row>
    <row r="11" spans="1:5" x14ac:dyDescent="0.25">
      <c r="A11" t="s">
        <v>14</v>
      </c>
      <c r="B11">
        <f>RTD("tos.rtd", , "OPEN", $A11)</f>
        <v>1.36</v>
      </c>
      <c r="C11">
        <f>RTD("tos.rtd", , "HIGH", $A11)</f>
        <v>1.43</v>
      </c>
      <c r="D11">
        <f>RTD("tos.rtd", , "LOW", $A11)</f>
        <v>1.29</v>
      </c>
      <c r="E11">
        <f>RTD("tos.rtd", , "CLOSE", $A11)</f>
        <v>1.35</v>
      </c>
    </row>
    <row r="12" spans="1:5" x14ac:dyDescent="0.25">
      <c r="A12" t="s">
        <v>15</v>
      </c>
      <c r="B12">
        <f>RTD("tos.rtd", , "OPEN", $A12)</f>
        <v>3.78</v>
      </c>
      <c r="C12">
        <f>RTD("tos.rtd", , "HIGH", $A12)</f>
        <v>4</v>
      </c>
      <c r="D12">
        <f>RTD("tos.rtd", , "LOW", $A12)</f>
        <v>3.59</v>
      </c>
      <c r="E12">
        <f>RTD("tos.rtd", , "CLOSE", $A12)</f>
        <v>3.65</v>
      </c>
    </row>
    <row r="13" spans="1:5" x14ac:dyDescent="0.25">
      <c r="A13" t="s">
        <v>16</v>
      </c>
      <c r="B13">
        <f>RTD("tos.rtd", , "OPEN", $A13)</f>
        <v>3.95</v>
      </c>
      <c r="C13">
        <f>RTD("tos.rtd", , "HIGH", $A13)</f>
        <v>4.0198999999999998</v>
      </c>
      <c r="D13">
        <f>RTD("tos.rtd", , "LOW", $A13)</f>
        <v>3.7549999999999999</v>
      </c>
      <c r="E13">
        <f>RTD("tos.rtd", , "CLOSE", $A13)</f>
        <v>3.88</v>
      </c>
    </row>
    <row r="14" spans="1:5" x14ac:dyDescent="0.25">
      <c r="A14" t="s">
        <v>17</v>
      </c>
      <c r="B14">
        <f>RTD("tos.rtd", , "OPEN", $A14)</f>
        <v>0</v>
      </c>
      <c r="C14">
        <f>RTD("tos.rtd", , "HIGH", $A14)</f>
        <v>0</v>
      </c>
      <c r="D14">
        <f>RTD("tos.rtd", , "LOW", $A14)</f>
        <v>0</v>
      </c>
      <c r="E14">
        <f>RTD("tos.rtd", , "CLOSE", $A14)</f>
        <v>4.34</v>
      </c>
    </row>
    <row r="15" spans="1:5" x14ac:dyDescent="0.25">
      <c r="A15" t="s">
        <v>18</v>
      </c>
      <c r="B15">
        <f>RTD("tos.rtd", , "OPEN", $A15)</f>
        <v>3.58</v>
      </c>
      <c r="C15">
        <f>RTD("tos.rtd", , "HIGH", $A15)</f>
        <v>3.69</v>
      </c>
      <c r="D15">
        <f>RTD("tos.rtd", , "LOW", $A15)</f>
        <v>3.43</v>
      </c>
      <c r="E15">
        <f>RTD("tos.rtd", , "CLOSE", $A15)</f>
        <v>3.43</v>
      </c>
    </row>
    <row r="16" spans="1:5" x14ac:dyDescent="0.25">
      <c r="A16" t="s">
        <v>19</v>
      </c>
      <c r="B16">
        <f>RTD("tos.rtd", , "OPEN", $A16)</f>
        <v>4.09</v>
      </c>
      <c r="C16">
        <f>RTD("tos.rtd", , "HIGH", $A16)</f>
        <v>4.1399999999999997</v>
      </c>
      <c r="D16">
        <f>RTD("tos.rtd", , "LOW", $A16)</f>
        <v>3.86</v>
      </c>
      <c r="E16">
        <f>RTD("tos.rtd", , "CLOSE", $A16)</f>
        <v>3.94</v>
      </c>
    </row>
    <row r="17" spans="1:5" x14ac:dyDescent="0.25">
      <c r="A17" t="s">
        <v>20</v>
      </c>
      <c r="B17">
        <f>RTD("tos.rtd", , "OPEN", $A17)</f>
        <v>1.96</v>
      </c>
      <c r="C17">
        <f>RTD("tos.rtd", , "HIGH", $A17)</f>
        <v>1.9750000000000001</v>
      </c>
      <c r="D17">
        <f>RTD("tos.rtd", , "LOW", $A17)</f>
        <v>1.83</v>
      </c>
      <c r="E17">
        <f>RTD("tos.rtd", , "CLOSE", $A17)</f>
        <v>1.83</v>
      </c>
    </row>
    <row r="18" spans="1:5" x14ac:dyDescent="0.25">
      <c r="A18" t="s">
        <v>21</v>
      </c>
      <c r="B18">
        <f>RTD("tos.rtd", , "OPEN", $A18)</f>
        <v>2.48</v>
      </c>
      <c r="C18">
        <f>RTD("tos.rtd", , "HIGH", $A18)</f>
        <v>2.56</v>
      </c>
      <c r="D18">
        <f>RTD("tos.rtd", , "LOW", $A18)</f>
        <v>2.34</v>
      </c>
      <c r="E18">
        <f>RTD("tos.rtd", , "CLOSE", $A18)</f>
        <v>2.42</v>
      </c>
    </row>
    <row r="19" spans="1:5" x14ac:dyDescent="0.25">
      <c r="A19" t="s">
        <v>22</v>
      </c>
      <c r="B19">
        <f>RTD("tos.rtd", , "OPEN", $A19)</f>
        <v>5.34</v>
      </c>
      <c r="C19">
        <f>RTD("tos.rtd", , "HIGH", $A19)</f>
        <v>5.35</v>
      </c>
      <c r="D19">
        <f>RTD("tos.rtd", , "LOW", $A19)</f>
        <v>5.25</v>
      </c>
      <c r="E19">
        <f>RTD("tos.rtd", , "CLOSE", $A19)</f>
        <v>5.25</v>
      </c>
    </row>
    <row r="20" spans="1:5" x14ac:dyDescent="0.25">
      <c r="A20" t="s">
        <v>23</v>
      </c>
      <c r="B20">
        <f>RTD("tos.rtd", , "OPEN", $A20)</f>
        <v>3.6</v>
      </c>
      <c r="C20">
        <f>RTD("tos.rtd", , "HIGH", $A20)</f>
        <v>3.65</v>
      </c>
      <c r="D20">
        <f>RTD("tos.rtd", , "LOW", $A20)</f>
        <v>3.27</v>
      </c>
      <c r="E20">
        <f>RTD("tos.rtd", , "CLOSE", $A20)</f>
        <v>3.51</v>
      </c>
    </row>
    <row r="21" spans="1:5" x14ac:dyDescent="0.25">
      <c r="A21" t="s">
        <v>24</v>
      </c>
      <c r="B21">
        <f>RTD("tos.rtd", , "OPEN", $A21)</f>
        <v>1.1100000000000001</v>
      </c>
      <c r="C21">
        <f>RTD("tos.rtd", , "HIGH", $A21)</f>
        <v>1.17</v>
      </c>
      <c r="D21">
        <f>RTD("tos.rtd", , "LOW", $A21)</f>
        <v>1.05</v>
      </c>
      <c r="E21">
        <f>RTD("tos.rtd", , "CLOSE", $A21)</f>
        <v>1.1200000000000001</v>
      </c>
    </row>
    <row r="22" spans="1:5" x14ac:dyDescent="0.25">
      <c r="A22" t="s">
        <v>25</v>
      </c>
      <c r="B22">
        <f>RTD("tos.rtd", , "OPEN", $A22)</f>
        <v>3.44</v>
      </c>
      <c r="C22">
        <f>RTD("tos.rtd", , "HIGH", $A22)</f>
        <v>3.7450000000000001</v>
      </c>
      <c r="D22">
        <f>RTD("tos.rtd", , "LOW", $A22)</f>
        <v>3.4</v>
      </c>
      <c r="E22">
        <f>RTD("tos.rtd", , "CLOSE", $A22)</f>
        <v>3.49</v>
      </c>
    </row>
    <row r="23" spans="1:5" x14ac:dyDescent="0.25">
      <c r="A23" t="s">
        <v>26</v>
      </c>
      <c r="B23">
        <f>RTD("tos.rtd", , "OPEN", $A23)</f>
        <v>1.62</v>
      </c>
      <c r="C23">
        <f>RTD("tos.rtd", , "HIGH", $A23)</f>
        <v>1.73</v>
      </c>
      <c r="D23">
        <f>RTD("tos.rtd", , "LOW", $A23)</f>
        <v>1.37</v>
      </c>
      <c r="E23">
        <f>RTD("tos.rtd", , "CLOSE", $A23)</f>
        <v>1.43</v>
      </c>
    </row>
    <row r="24" spans="1:5" x14ac:dyDescent="0.25">
      <c r="A24" t="s">
        <v>27</v>
      </c>
      <c r="B24">
        <f>RTD("tos.rtd", , "OPEN", $A24)</f>
        <v>4</v>
      </c>
      <c r="C24">
        <f>RTD("tos.rtd", , "HIGH", $A24)</f>
        <v>4.29</v>
      </c>
      <c r="D24">
        <f>RTD("tos.rtd", , "LOW", $A24)</f>
        <v>3.9300999999999999</v>
      </c>
      <c r="E24">
        <f>RTD("tos.rtd", , "CLOSE", $A24)</f>
        <v>4.03</v>
      </c>
    </row>
    <row r="25" spans="1:5" x14ac:dyDescent="0.25">
      <c r="A25" t="s">
        <v>28</v>
      </c>
      <c r="B25">
        <f>RTD("tos.rtd", , "OPEN", $A25)</f>
        <v>2.97</v>
      </c>
      <c r="C25">
        <f>RTD("tos.rtd", , "HIGH", $A25)</f>
        <v>3.13</v>
      </c>
      <c r="D25">
        <f>RTD("tos.rtd", , "LOW", $A25)</f>
        <v>2.81</v>
      </c>
      <c r="E25">
        <f>RTD("tos.rtd", , "CLOSE", $A25)</f>
        <v>3.01</v>
      </c>
    </row>
    <row r="26" spans="1:5" x14ac:dyDescent="0.25">
      <c r="A26" t="s">
        <v>29</v>
      </c>
      <c r="B26">
        <f>RTD("tos.rtd", , "OPEN", $A26)</f>
        <v>2.63</v>
      </c>
      <c r="C26">
        <f>RTD("tos.rtd", , "HIGH", $A26)</f>
        <v>2.64</v>
      </c>
      <c r="D26">
        <f>RTD("tos.rtd", , "LOW", $A26)</f>
        <v>2.5350000000000001</v>
      </c>
      <c r="E26">
        <f>RTD("tos.rtd", , "CLOSE", $A26)</f>
        <v>2.5499999999999998</v>
      </c>
    </row>
    <row r="27" spans="1:5" x14ac:dyDescent="0.25">
      <c r="A27" t="s">
        <v>30</v>
      </c>
      <c r="B27">
        <f>RTD("tos.rtd", , "OPEN", $A27)</f>
        <v>3.21</v>
      </c>
      <c r="C27">
        <f>RTD("tos.rtd", , "HIGH", $A27)</f>
        <v>3.3</v>
      </c>
      <c r="D27">
        <f>RTD("tos.rtd", , "LOW", $A27)</f>
        <v>3.173</v>
      </c>
      <c r="E27">
        <f>RTD("tos.rtd", , "CLOSE", $A27)</f>
        <v>3.27</v>
      </c>
    </row>
    <row r="28" spans="1:5" x14ac:dyDescent="0.25">
      <c r="A28" t="s">
        <v>31</v>
      </c>
      <c r="B28">
        <f>RTD("tos.rtd", , "OPEN", $A28)</f>
        <v>4.6500000000000004</v>
      </c>
      <c r="C28">
        <f>RTD("tos.rtd", , "HIGH", $A28)</f>
        <v>4.8</v>
      </c>
      <c r="D28">
        <f>RTD("tos.rtd", , "LOW", $A28)</f>
        <v>4.6500000000000004</v>
      </c>
      <c r="E28">
        <f>RTD("tos.rtd", , "CLOSE", $A28)</f>
        <v>4.66</v>
      </c>
    </row>
    <row r="29" spans="1:5" x14ac:dyDescent="0.25">
      <c r="A29" t="s">
        <v>32</v>
      </c>
      <c r="B29">
        <f>RTD("tos.rtd", , "OPEN", $A29)</f>
        <v>4.8099999999999996</v>
      </c>
      <c r="C29">
        <f>RTD("tos.rtd", , "HIGH", $A29)</f>
        <v>4.8899999999999997</v>
      </c>
      <c r="D29">
        <f>RTD("tos.rtd", , "LOW", $A29)</f>
        <v>4.76</v>
      </c>
      <c r="E29">
        <f>RTD("tos.rtd", , "CLOSE", $A29)</f>
        <v>4.76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5"/>
  <sheetViews>
    <sheetView workbookViewId="0">
      <selection activeCell="H15" sqref="H15"/>
    </sheetView>
  </sheetViews>
  <sheetFormatPr defaultRowHeight="15" x14ac:dyDescent="0.25"/>
  <cols>
    <col min="6" max="6" width="10.140625" customWidth="1"/>
    <col min="7" max="7" width="9.5703125" bestFit="1" customWidth="1"/>
  </cols>
  <sheetData>
    <row r="1" spans="1:9" x14ac:dyDescent="0.25">
      <c r="A1" t="s">
        <v>0</v>
      </c>
      <c r="B1" t="s">
        <v>1</v>
      </c>
      <c r="C1" t="s">
        <v>34</v>
      </c>
      <c r="D1" t="s">
        <v>3</v>
      </c>
      <c r="E1" t="s">
        <v>4</v>
      </c>
      <c r="F1" t="s">
        <v>35</v>
      </c>
      <c r="G1" t="s">
        <v>37</v>
      </c>
      <c r="H1" t="s">
        <v>36</v>
      </c>
      <c r="I1" t="s">
        <v>38</v>
      </c>
    </row>
    <row r="2" spans="1:9" x14ac:dyDescent="0.25">
      <c r="A2" t="s">
        <v>33</v>
      </c>
      <c r="B2" t="str">
        <f>RTD("tos.rtd", , "OPEN", $A2)</f>
        <v>N/A</v>
      </c>
      <c r="C2" t="str">
        <f>RTD("tos.rtd", , "HIGH", $A2)</f>
        <v>N/A</v>
      </c>
      <c r="D2" t="str">
        <f>RTD("tos.rtd", , "LOW", $A2)</f>
        <v>N/A</v>
      </c>
      <c r="E2">
        <f>RTD("tos.rtd", , "CLOSE", $A2)</f>
        <v>1</v>
      </c>
    </row>
    <row r="3" spans="1:9" x14ac:dyDescent="0.25">
      <c r="A3" t="s">
        <v>13</v>
      </c>
      <c r="B3">
        <f>RTD("tos.rtd", , "OPEN", $A3)</f>
        <v>3.01</v>
      </c>
      <c r="C3">
        <f>RTD("tos.rtd", , "HIGH", $A3)</f>
        <v>3.17</v>
      </c>
      <c r="D3">
        <f>RTD("tos.rtd", , "LOW", $A3)</f>
        <v>2.88</v>
      </c>
      <c r="E3">
        <f>RTD("tos.rtd", , "CLOSE", $A3)</f>
        <v>3.04</v>
      </c>
      <c r="F3">
        <f>RTD("tos.rtd", , "VOLUME", $A3)</f>
        <v>268272</v>
      </c>
    </row>
    <row r="4" spans="1:9" x14ac:dyDescent="0.25">
      <c r="A4" t="s">
        <v>5</v>
      </c>
      <c r="B4">
        <f>RTD("tos.rtd", , "OPEN", $A4)</f>
        <v>3.98</v>
      </c>
      <c r="C4">
        <f>RTD("tos.rtd", , "HIGH", $A4)</f>
        <v>3.98</v>
      </c>
      <c r="D4">
        <f>RTD("tos.rtd", , "LOW", $A4)</f>
        <v>3.335</v>
      </c>
      <c r="E4">
        <f>RTD("tos.rtd", , "CLOSE", $A4)</f>
        <v>3.43</v>
      </c>
      <c r="F4">
        <f>RTD("tos.rtd", , "VOLUME", $A4)</f>
        <v>3292313</v>
      </c>
    </row>
    <row r="5" spans="1:9" x14ac:dyDescent="0.25">
      <c r="A5" t="s">
        <v>15</v>
      </c>
      <c r="B5">
        <f>RTD("tos.rtd", , "OPEN", $A5)</f>
        <v>3.78</v>
      </c>
      <c r="C5">
        <f>RTD("tos.rtd", , "HIGH", $A5)</f>
        <v>4</v>
      </c>
      <c r="D5">
        <f>RTD("tos.rtd", , "LOW", $A5)</f>
        <v>3.59</v>
      </c>
      <c r="E5">
        <f>RTD("tos.rtd", , "CLOSE", $A5)</f>
        <v>3.65</v>
      </c>
      <c r="F5">
        <f>RTD("tos.rtd", , "VOLUME", $A5)</f>
        <v>1071811</v>
      </c>
    </row>
    <row r="6" spans="1:9" x14ac:dyDescent="0.25">
      <c r="A6" t="s">
        <v>22</v>
      </c>
      <c r="B6">
        <f>RTD("tos.rtd", , "OPEN", $A6)</f>
        <v>5.34</v>
      </c>
      <c r="C6">
        <f>RTD("tos.rtd", , "HIGH", $A6)</f>
        <v>5.35</v>
      </c>
      <c r="D6">
        <f>RTD("tos.rtd", , "LOW", $A6)</f>
        <v>5.25</v>
      </c>
      <c r="E6">
        <f>RTD("tos.rtd", , "CLOSE", $A6)</f>
        <v>5.25</v>
      </c>
      <c r="F6">
        <f>RTD("tos.rtd", , "VOLUME", $A6)</f>
        <v>1726181</v>
      </c>
    </row>
    <row r="7" spans="1:9" x14ac:dyDescent="0.25">
      <c r="A7" t="s">
        <v>19</v>
      </c>
      <c r="B7">
        <f>RTD("tos.rtd", , "OPEN", $A7)</f>
        <v>4.09</v>
      </c>
      <c r="C7">
        <f>RTD("tos.rtd", , "HIGH", $A7)</f>
        <v>4.1399999999999997</v>
      </c>
      <c r="D7">
        <f>RTD("tos.rtd", , "LOW", $A7)</f>
        <v>3.86</v>
      </c>
      <c r="E7">
        <f>RTD("tos.rtd", , "CLOSE", $A7)</f>
        <v>3.94</v>
      </c>
      <c r="F7">
        <f>RTD("tos.rtd", , "VOLUME", $A7)</f>
        <v>352483</v>
      </c>
    </row>
    <row r="8" spans="1:9" x14ac:dyDescent="0.25">
      <c r="A8" t="s">
        <v>10</v>
      </c>
      <c r="B8">
        <f>RTD("tos.rtd", , "OPEN", $A8)</f>
        <v>5.28</v>
      </c>
      <c r="C8">
        <f>RTD("tos.rtd", , "HIGH", $A8)</f>
        <v>5.29</v>
      </c>
      <c r="D8">
        <f>RTD("tos.rtd", , "LOW", $A8)</f>
        <v>5.2</v>
      </c>
      <c r="E8">
        <f>RTD("tos.rtd", , "CLOSE", $A8)</f>
        <v>5.27</v>
      </c>
      <c r="F8">
        <f>RTD("tos.rtd", , "VOLUME", $A8)</f>
        <v>232971</v>
      </c>
    </row>
    <row r="9" spans="1:9" x14ac:dyDescent="0.25">
      <c r="A9" t="s">
        <v>7</v>
      </c>
      <c r="B9">
        <f>RTD("tos.rtd", , "OPEN", $A9)</f>
        <v>4.8499999999999996</v>
      </c>
      <c r="C9">
        <f>RTD("tos.rtd", , "HIGH", $A9)</f>
        <v>5.04</v>
      </c>
      <c r="D9">
        <f>RTD("tos.rtd", , "LOW", $A9)</f>
        <v>4.67</v>
      </c>
      <c r="E9">
        <f>RTD("tos.rtd", , "CLOSE", $A9)</f>
        <v>4.68</v>
      </c>
      <c r="F9">
        <f>RTD("tos.rtd", , "VOLUME", $A9)</f>
        <v>199893</v>
      </c>
    </row>
    <row r="10" spans="1:9" x14ac:dyDescent="0.25">
      <c r="A10" t="s">
        <v>25</v>
      </c>
      <c r="B10">
        <f>RTD("tos.rtd", , "OPEN", $A10)</f>
        <v>3.44</v>
      </c>
      <c r="C10">
        <f>RTD("tos.rtd", , "HIGH", $A10)</f>
        <v>3.7450000000000001</v>
      </c>
      <c r="D10">
        <f>RTD("tos.rtd", , "LOW", $A10)</f>
        <v>3.4</v>
      </c>
      <c r="E10">
        <f>RTD("tos.rtd", , "CLOSE", $A10)</f>
        <v>3.49</v>
      </c>
      <c r="F10">
        <f>RTD("tos.rtd", , "VOLUME", $A10)</f>
        <v>7028940</v>
      </c>
    </row>
    <row r="11" spans="1:9" x14ac:dyDescent="0.25">
      <c r="A11" t="s">
        <v>12</v>
      </c>
      <c r="B11">
        <f>RTD("tos.rtd", , "OPEN", $A11)</f>
        <v>1.4</v>
      </c>
      <c r="C11">
        <f>RTD("tos.rtd", , "HIGH", $A11)</f>
        <v>1.42</v>
      </c>
      <c r="D11">
        <f>RTD("tos.rtd", , "LOW", $A11)</f>
        <v>1.26</v>
      </c>
      <c r="E11">
        <f>RTD("tos.rtd", , "CLOSE", $A11)</f>
        <v>1.34</v>
      </c>
      <c r="F11">
        <f>RTD("tos.rtd", , "VOLUME", $A11)</f>
        <v>743364</v>
      </c>
    </row>
    <row r="12" spans="1:9" x14ac:dyDescent="0.25">
      <c r="A12" t="s">
        <v>18</v>
      </c>
      <c r="B12">
        <f>RTD("tos.rtd", , "OPEN", $A12)</f>
        <v>3.58</v>
      </c>
      <c r="C12">
        <f>RTD("tos.rtd", , "HIGH", $A12)</f>
        <v>3.69</v>
      </c>
      <c r="D12">
        <f>RTD("tos.rtd", , "LOW", $A12)</f>
        <v>3.43</v>
      </c>
      <c r="E12">
        <f>RTD("tos.rtd", , "CLOSE", $A12)</f>
        <v>3.43</v>
      </c>
      <c r="F12">
        <f>RTD("tos.rtd", , "VOLUME", $A12)</f>
        <v>3151635</v>
      </c>
    </row>
    <row r="13" spans="1:9" x14ac:dyDescent="0.25">
      <c r="A13" t="s">
        <v>14</v>
      </c>
      <c r="B13">
        <f>RTD("tos.rtd", , "OPEN", $A13)</f>
        <v>1.36</v>
      </c>
      <c r="C13">
        <f>RTD("tos.rtd", , "HIGH", $A13)</f>
        <v>1.43</v>
      </c>
      <c r="D13">
        <f>RTD("tos.rtd", , "LOW", $A13)</f>
        <v>1.29</v>
      </c>
      <c r="E13">
        <f>RTD("tos.rtd", , "CLOSE", $A13)</f>
        <v>1.35</v>
      </c>
      <c r="F13">
        <f>RTD("tos.rtd", , "VOLUME", $A13)</f>
        <v>3620797</v>
      </c>
    </row>
    <row r="14" spans="1:9" x14ac:dyDescent="0.25">
      <c r="A14" t="s">
        <v>21</v>
      </c>
      <c r="B14">
        <f>RTD("tos.rtd", , "OPEN", $A14)</f>
        <v>2.48</v>
      </c>
      <c r="C14">
        <f>RTD("tos.rtd", , "HIGH", $A14)</f>
        <v>2.56</v>
      </c>
      <c r="D14">
        <f>RTD("tos.rtd", , "LOW", $A14)</f>
        <v>2.34</v>
      </c>
      <c r="E14">
        <f>RTD("tos.rtd", , "CLOSE", $A14)</f>
        <v>2.42</v>
      </c>
      <c r="F14">
        <f>RTD("tos.rtd", , "VOLUME", $A14)</f>
        <v>232844</v>
      </c>
    </row>
    <row r="15" spans="1:9" x14ac:dyDescent="0.25">
      <c r="A15" t="s">
        <v>31</v>
      </c>
      <c r="B15">
        <f>RTD("tos.rtd", , "OPEN", $A15)</f>
        <v>4.6500000000000004</v>
      </c>
      <c r="C15">
        <f>RTD("tos.rtd", , "HIGH", $A15)</f>
        <v>4.8</v>
      </c>
      <c r="D15">
        <f>RTD("tos.rtd", , "LOW", $A15)</f>
        <v>4.6500000000000004</v>
      </c>
      <c r="E15">
        <f>RTD("tos.rtd", , "CLOSE", $A15)</f>
        <v>4.66</v>
      </c>
      <c r="F15">
        <f>RTD("tos.rtd", , "VOLUME", $A15)</f>
        <v>205246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8FAB7-3687-4FBA-BC5E-D8A064534867}">
  <sheetPr codeName="Sheet3"/>
  <dimension ref="A1:H27"/>
  <sheetViews>
    <sheetView showGridLines="0" zoomScale="85" zoomScaleNormal="85" workbookViewId="0">
      <selection activeCell="D6" sqref="D6"/>
    </sheetView>
  </sheetViews>
  <sheetFormatPr defaultRowHeight="15" x14ac:dyDescent="0.25"/>
  <cols>
    <col min="1" max="1" width="17" customWidth="1"/>
    <col min="2" max="2" width="51.42578125" customWidth="1"/>
    <col min="3" max="3" width="19" customWidth="1"/>
    <col min="4" max="4" width="12.5703125" bestFit="1" customWidth="1"/>
    <col min="5" max="5" width="12.85546875" bestFit="1" customWidth="1"/>
    <col min="6" max="6" width="14.28515625" bestFit="1" customWidth="1"/>
    <col min="7" max="7" width="11" bestFit="1" customWidth="1"/>
    <col min="8" max="8" width="10.7109375" bestFit="1" customWidth="1"/>
  </cols>
  <sheetData>
    <row r="1" spans="1:8" ht="15" customHeight="1" x14ac:dyDescent="0.25">
      <c r="A1" s="4"/>
      <c r="B1" s="4"/>
      <c r="C1" s="4"/>
      <c r="D1" s="4"/>
      <c r="E1" s="4"/>
      <c r="F1" s="4"/>
      <c r="G1" s="4"/>
      <c r="H1" s="4"/>
    </row>
    <row r="2" spans="1:8" ht="15" customHeight="1" x14ac:dyDescent="0.25">
      <c r="A2" s="4"/>
      <c r="B2" s="4"/>
      <c r="C2" s="4"/>
      <c r="D2" s="4"/>
      <c r="E2" s="4"/>
      <c r="F2" s="4"/>
      <c r="G2" s="4"/>
      <c r="H2" s="4"/>
    </row>
    <row r="3" spans="1:8" ht="23.25" x14ac:dyDescent="0.25">
      <c r="A3" s="1"/>
      <c r="B3" s="2"/>
      <c r="C3" s="2"/>
      <c r="D3" s="1"/>
      <c r="E3" s="1"/>
      <c r="F3" s="1"/>
      <c r="G3" s="1"/>
      <c r="H3" s="1"/>
    </row>
    <row r="4" spans="1:8" ht="23.25" x14ac:dyDescent="0.25">
      <c r="A4" s="3"/>
      <c r="B4" s="2"/>
      <c r="C4" s="2"/>
      <c r="D4" s="1"/>
      <c r="E4" s="1"/>
      <c r="F4" s="1"/>
      <c r="G4" s="1"/>
      <c r="H4" s="1"/>
    </row>
    <row r="5" spans="1:8" ht="23.25" x14ac:dyDescent="0.25">
      <c r="A5" s="1"/>
      <c r="B5" s="2"/>
      <c r="C5" s="2"/>
      <c r="D5" s="1"/>
      <c r="E5" s="1"/>
      <c r="F5" s="1"/>
      <c r="G5" s="1"/>
      <c r="H5" s="1"/>
    </row>
    <row r="6" spans="1:8" ht="23.25" x14ac:dyDescent="0.25">
      <c r="A6" s="1"/>
      <c r="B6" s="2"/>
      <c r="C6" s="2"/>
      <c r="D6" s="1"/>
      <c r="E6" s="1"/>
      <c r="F6" s="1"/>
      <c r="G6" s="1"/>
      <c r="H6" s="1"/>
    </row>
    <row r="7" spans="1:8" ht="23.25" x14ac:dyDescent="0.25">
      <c r="A7" s="1"/>
      <c r="B7" s="2"/>
      <c r="C7" s="2"/>
      <c r="D7" s="1"/>
      <c r="E7" s="1"/>
      <c r="F7" s="1"/>
      <c r="G7" s="1"/>
      <c r="H7" s="1"/>
    </row>
    <row r="8" spans="1:8" ht="23.25" x14ac:dyDescent="0.25">
      <c r="A8" s="1"/>
      <c r="B8" s="2"/>
      <c r="C8" s="2"/>
      <c r="D8" s="1"/>
      <c r="E8" s="1"/>
      <c r="F8" s="1"/>
      <c r="G8" s="1"/>
      <c r="H8" s="1"/>
    </row>
    <row r="9" spans="1:8" ht="23.25" x14ac:dyDescent="0.25">
      <c r="A9" s="1"/>
      <c r="B9" s="2"/>
      <c r="C9" s="2"/>
      <c r="D9" s="1"/>
      <c r="E9" s="1"/>
      <c r="F9" s="1"/>
      <c r="G9" s="1"/>
      <c r="H9" s="1"/>
    </row>
    <row r="10" spans="1:8" ht="23.25" x14ac:dyDescent="0.25">
      <c r="A10" s="1"/>
      <c r="B10" s="2"/>
      <c r="C10" s="2"/>
      <c r="D10" s="1"/>
      <c r="E10" s="1"/>
      <c r="F10" s="1"/>
      <c r="G10" s="1"/>
      <c r="H10" s="1"/>
    </row>
    <row r="11" spans="1:8" ht="23.25" x14ac:dyDescent="0.25">
      <c r="A11" s="1"/>
      <c r="B11" s="2"/>
      <c r="C11" s="2"/>
      <c r="D11" s="1"/>
      <c r="E11" s="1"/>
      <c r="F11" s="1"/>
      <c r="G11" s="1"/>
      <c r="H11" s="1"/>
    </row>
    <row r="12" spans="1:8" ht="23.25" x14ac:dyDescent="0.25">
      <c r="A12" s="1"/>
      <c r="B12" s="2"/>
      <c r="C12" s="2"/>
      <c r="D12" s="1"/>
      <c r="E12" s="1"/>
      <c r="F12" s="1"/>
      <c r="G12" s="1"/>
      <c r="H12" s="1"/>
    </row>
    <row r="13" spans="1:8" ht="23.25" x14ac:dyDescent="0.25">
      <c r="A13" s="1"/>
      <c r="B13" s="2"/>
      <c r="C13" s="2"/>
      <c r="D13" s="1"/>
      <c r="E13" s="1"/>
      <c r="F13" s="1"/>
      <c r="G13" s="1"/>
      <c r="H13" s="1"/>
    </row>
    <row r="14" spans="1:8" ht="23.25" x14ac:dyDescent="0.25">
      <c r="A14" s="1"/>
      <c r="B14" s="2"/>
      <c r="C14" s="2"/>
      <c r="D14" s="1"/>
      <c r="E14" s="1"/>
      <c r="F14" s="1"/>
      <c r="G14" s="1"/>
      <c r="H14" s="1"/>
    </row>
    <row r="15" spans="1:8" ht="23.25" x14ac:dyDescent="0.25">
      <c r="A15" s="1"/>
      <c r="B15" s="2"/>
      <c r="C15" s="2"/>
      <c r="D15" s="1"/>
      <c r="E15" s="1"/>
      <c r="F15" s="1"/>
      <c r="G15" s="1"/>
      <c r="H15" s="1"/>
    </row>
    <row r="16" spans="1:8" ht="23.25" x14ac:dyDescent="0.25">
      <c r="A16" s="1"/>
      <c r="B16" s="2"/>
      <c r="C16" s="2"/>
      <c r="D16" s="1"/>
      <c r="E16" s="1"/>
      <c r="F16" s="1"/>
      <c r="G16" s="1"/>
      <c r="H16" s="1"/>
    </row>
    <row r="17" spans="1:8" ht="23.25" x14ac:dyDescent="0.25">
      <c r="A17" s="1"/>
      <c r="B17" s="2"/>
      <c r="C17" s="2"/>
      <c r="D17" s="1"/>
      <c r="E17" s="1"/>
      <c r="F17" s="1"/>
      <c r="G17" s="1"/>
      <c r="H17" s="1"/>
    </row>
    <row r="18" spans="1:8" ht="23.25" x14ac:dyDescent="0.25">
      <c r="A18" s="3"/>
      <c r="B18" s="2"/>
      <c r="C18" s="2"/>
      <c r="D18" s="3"/>
      <c r="E18" s="3"/>
      <c r="F18" s="3"/>
      <c r="G18" s="3"/>
      <c r="H18" s="3"/>
    </row>
    <row r="19" spans="1:8" ht="23.25" x14ac:dyDescent="0.25">
      <c r="A19" s="1"/>
      <c r="B19" s="2"/>
      <c r="C19" s="2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</sheetData>
  <mergeCells count="1">
    <mergeCell ref="A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EquityWatchlist</vt:lpstr>
      <vt:lpstr>EquityPositions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Macko</dc:creator>
  <cp:lastModifiedBy>Dan Macko</cp:lastModifiedBy>
  <dcterms:created xsi:type="dcterms:W3CDTF">2015-06-05T18:17:20Z</dcterms:created>
  <dcterms:modified xsi:type="dcterms:W3CDTF">2021-02-27T22:45:25Z</dcterms:modified>
</cp:coreProperties>
</file>